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autoCompressPictures="0"/>
  <bookViews>
    <workbookView xWindow="0" yWindow="0" windowWidth="23040" windowHeight="9192" activeTab="1"/>
  </bookViews>
  <sheets>
    <sheet name="Planificador de proyectos" sheetId="1" r:id="rId1"/>
    <sheet name="Presupuesto" sheetId="2" r:id="rId2"/>
  </sheets>
  <definedNames>
    <definedName name="ActualBeyond">PeriodInActual*('Planificador de proyectos'!$E1&gt;0)</definedName>
    <definedName name="PercentComplete">PercentCompleteBeyond*PeriodInPlan</definedName>
    <definedName name="PercentCompleteBeyond">('Planificador de proyectos'!A$4=MEDIAN('Planificador de proyectos'!A$4,'Planificador de proyectos'!$E1,'Planificador de proyectos'!$E1+'Planificador de proyectos'!$F1)*('Planificador de proyectos'!$E1&gt;0))*(('Planificador de proyectos'!A$4&lt;(INT('Planificador de proyectos'!$E1+'Planificador de proyectos'!$F1*'Planificador de proyectos'!$G1)))+('Planificador de proyectos'!A$4='Planificador de proyectos'!$E1))*('Planificador de proyectos'!$G1&gt;0)</definedName>
    <definedName name="period_selected">'Planificador de proyectos'!$H$2</definedName>
    <definedName name="PeriodInActual">'Planificador de proyectos'!A$4=MEDIAN('Planificador de proyectos'!A$4,'Planificador de proyectos'!$E1,'Planificador de proyectos'!$E1+'Planificador de proyectos'!$F1-1)</definedName>
    <definedName name="PeriodInPlan">'Planificador de proyectos'!A$4=MEDIAN('Planificador de proyectos'!A$4,'Planificador de proyectos'!$C1,'Planificador de proyectos'!$C1+'Planificador de proyectos'!$D1-1)</definedName>
    <definedName name="Plan">PeriodInPlan*('Planificador de proyectos'!$C1&gt;0)</definedName>
    <definedName name="Real">(PeriodInActual*('Planificador de proyectos'!$E1&gt;0))*PeriodInPlan</definedName>
    <definedName name="TitleRegion..BO60">'Planificador de proyectos'!$B$3:$B$4</definedName>
    <definedName name="_xlnm.Print_Titles" localSheetId="0">'Planificador de proyectos'!$3:$4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67" i="2" l="1"/>
  <c r="F65" i="2"/>
  <c r="F55" i="2"/>
  <c r="F53" i="2"/>
  <c r="F51" i="2"/>
  <c r="F45" i="2"/>
  <c r="F43" i="2"/>
  <c r="F41" i="2"/>
  <c r="F39" i="2"/>
  <c r="F61" i="2"/>
  <c r="F57" i="2"/>
  <c r="F47" i="2"/>
  <c r="F35" i="2"/>
  <c r="F31" i="2"/>
  <c r="F27" i="2"/>
  <c r="F23" i="2"/>
  <c r="F19" i="2"/>
  <c r="F15" i="2"/>
  <c r="F11" i="2"/>
  <c r="F7" i="2"/>
  <c r="F3" i="2"/>
  <c r="F67" i="2" l="1"/>
</calcChain>
</file>

<file path=xl/sharedStrings.xml><?xml version="1.0" encoding="utf-8"?>
<sst xmlns="http://schemas.openxmlformats.org/spreadsheetml/2006/main" count="113" uniqueCount="53">
  <si>
    <t>Planificador de proyectos</t>
  </si>
  <si>
    <t>ACTIVIDAD</t>
  </si>
  <si>
    <t>INICIO DEL PLAN</t>
  </si>
  <si>
    <t>DURACIÓN DEL PLAN</t>
  </si>
  <si>
    <t>INICIO REAL</t>
  </si>
  <si>
    <t>DURACIÓN REAL</t>
  </si>
  <si>
    <t xml:space="preserve"> Periodo resaltado:</t>
  </si>
  <si>
    <t>PORCENTAJE COMPLETADO</t>
  </si>
  <si>
    <t>Duración del plan</t>
  </si>
  <si>
    <t>Inicio real</t>
  </si>
  <si>
    <t>% Completado</t>
  </si>
  <si>
    <t>Real (fuera del plan)</t>
  </si>
  <si>
    <t>% Completado (fuera del plan)</t>
  </si>
  <si>
    <t>Establecer parámetros</t>
  </si>
  <si>
    <t>Generar alternativas</t>
  </si>
  <si>
    <t>Obtener y organizar información</t>
  </si>
  <si>
    <t>Seleccionar la propuesta</t>
  </si>
  <si>
    <t>Presentar las propuestas</t>
  </si>
  <si>
    <t>Planificar acciones</t>
  </si>
  <si>
    <t>Diseño de los casos de uso</t>
  </si>
  <si>
    <t>Diseño del diagrama de entidad-realación</t>
  </si>
  <si>
    <t>Diseño del diagrama de clases</t>
  </si>
  <si>
    <t>Diseño gráfico de las ventanas</t>
  </si>
  <si>
    <t>Codificación de las ventanas</t>
  </si>
  <si>
    <t>Creación del backend</t>
  </si>
  <si>
    <t>Manejo de errores y excepciones del servidor</t>
  </si>
  <si>
    <t xml:space="preserve">Manejo de errores y excepciones del cliente </t>
  </si>
  <si>
    <t>Codificación de los tests</t>
  </si>
  <si>
    <t>Empaquetado y entrega del proyecto</t>
  </si>
  <si>
    <t>Testeo de la aplicación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</si>
  <si>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</si>
  <si>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</si>
  <si>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</si>
  <si>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</si>
  <si>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</si>
  <si>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</si>
  <si>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</si>
  <si>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</si>
  <si>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</si>
  <si>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Código</t>
  </si>
  <si>
    <t>Tarea/Actividad</t>
  </si>
  <si>
    <t>Recurso</t>
  </si>
  <si>
    <t>Precio por tarea €</t>
  </si>
  <si>
    <t>Programador Jr. Ekaitz</t>
  </si>
  <si>
    <t>Programador Jr. Alex</t>
  </si>
  <si>
    <t>Programador Jr. Mikel</t>
  </si>
  <si>
    <t>Tasa €/día</t>
  </si>
  <si>
    <t>Unidades día</t>
  </si>
  <si>
    <t>Programador Sr. Ekaitz</t>
  </si>
  <si>
    <t>Programador Sr. Alex</t>
  </si>
  <si>
    <t>Plantear el proyecto</t>
  </si>
  <si>
    <t>Identificar y conectar con el proyecto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</si>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</sst>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6" formatCode="#,##0\ &quot;€&quot;;[Red]\-#,##0\ &quot;€&quot;"/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(* #,##0_);_(* \(#,##0\);_(* &quot;-&quot;_);_(@_)"/>
    <numFmt numFmtId="165" formatCode="_(* #,##0.00_);_(* \(#,##0.00\);_(* &quot;-&quot;??_);_(@_)"/>
  </numFmts>
  <fonts count="31" x14ac:knownFonts="1">
    <font>
      <sz val="11"/>
      <color theme="1" tint="0.24994659260841701"/>
      <name val="Corbel"/>
      <family val="2"/>
      <scheme val="major"/>
    </font>
    <font>
      <sz val="11"/>
      <color theme="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 tint="0.24994659260841701"/>
      <name val="Calibri"/>
      <family val="2"/>
      <scheme val="minor"/>
    </font>
    <font>
      <b/>
      <sz val="13"/>
      <color theme="1" tint="0.24994659260841701"/>
      <name val="Calibri"/>
      <family val="2"/>
    </font>
    <font>
      <b/>
      <sz val="11"/>
      <color theme="1" tint="0.34998626667073579"/>
      <name val="Georgia Pro"/>
      <family val="1"/>
    </font>
    <font>
      <b/>
      <sz val="13"/>
      <color theme="1" tint="0.24994659260841701"/>
      <name val="Georgia Pro"/>
      <family val="1"/>
    </font>
    <font>
      <sz val="13"/>
      <color theme="1" tint="0.24994659260841701"/>
      <name val="Georgia Pro"/>
      <family val="1"/>
    </font>
    <font>
      <sz val="11"/>
      <color theme="1" tint="0.24994659260841701"/>
      <name val="Georgia Pro"/>
      <family val="1"/>
    </font>
    <font>
      <b/>
      <sz val="16"/>
      <color theme="1" tint="0.24994659260841701"/>
      <name val="Georgia Pro"/>
      <family val="1"/>
    </font>
  </fonts>
  <fills count="42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7CCBB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9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24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3" fillId="8" borderId="0" applyNumberFormat="0" applyBorder="0" applyAlignment="0" applyProtection="0"/>
    <xf numFmtId="0" fontId="14" fillId="9" borderId="0" applyNumberFormat="0" applyBorder="0" applyAlignment="0" applyProtection="0"/>
    <xf numFmtId="0" fontId="15" fillId="10" borderId="0" applyNumberFormat="0" applyBorder="0" applyAlignment="0" applyProtection="0"/>
    <xf numFmtId="0" fontId="16" fillId="11" borderId="8" applyNumberFormat="0" applyAlignment="0" applyProtection="0"/>
    <xf numFmtId="0" fontId="17" fillId="12" borderId="9" applyNumberFormat="0" applyAlignment="0" applyProtection="0"/>
    <xf numFmtId="0" fontId="18" fillId="12" borderId="8" applyNumberFormat="0" applyAlignment="0" applyProtection="0"/>
    <xf numFmtId="0" fontId="19" fillId="0" borderId="10" applyNumberFormat="0" applyFill="0" applyAlignment="0" applyProtection="0"/>
    <xf numFmtId="0" fontId="20" fillId="13" borderId="11" applyNumberFormat="0" applyAlignment="0" applyProtection="0"/>
    <xf numFmtId="0" fontId="21" fillId="0" borderId="0" applyNumberFormat="0" applyFill="0" applyBorder="0" applyAlignment="0" applyProtection="0"/>
    <xf numFmtId="0" fontId="10" fillId="14" borderId="12" applyNumberFormat="0" applyFont="0" applyAlignment="0" applyProtection="0"/>
    <xf numFmtId="0" fontId="22" fillId="0" borderId="13" applyNumberFormat="0" applyFill="0" applyAlignment="0" applyProtection="0"/>
    <xf numFmtId="0" fontId="2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3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47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3" fontId="9" fillId="0" borderId="2" xfId="3">
      <alignment horizontal="center"/>
    </xf>
    <xf numFmtId="0" fontId="8" fillId="6" borderId="1" xfId="7">
      <alignment horizontal="left" vertical="center"/>
    </xf>
    <xf numFmtId="9" fontId="6" fillId="0" borderId="0" xfId="6" applyFo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0" fontId="0" fillId="3" borderId="3" xfId="15" applyFont="1">
      <alignment horizontal="center"/>
    </xf>
    <xf numFmtId="0" fontId="0" fillId="4" borderId="3" xfId="16" applyFont="1">
      <alignment horizontal="center"/>
    </xf>
    <xf numFmtId="0" fontId="0" fillId="5" borderId="3" xfId="17" applyFont="1">
      <alignment horizontal="center"/>
    </xf>
    <xf numFmtId="0" fontId="0" fillId="7" borderId="3" xfId="18" applyFont="1">
      <alignment horizontal="center"/>
    </xf>
    <xf numFmtId="0" fontId="4" fillId="0" borderId="0" xfId="2" applyFont="1" applyAlignment="1">
      <alignment horizontal="left" vertical="center" wrapText="1"/>
    </xf>
    <xf numFmtId="1" fontId="12" fillId="6" borderId="5" xfId="13" applyBorder="1">
      <alignment horizontal="center" vertical="center"/>
    </xf>
    <xf numFmtId="0" fontId="0" fillId="2" borderId="14" xfId="14" applyFont="1" applyBorder="1">
      <alignment horizontal="center"/>
    </xf>
    <xf numFmtId="0" fontId="7" fillId="0" borderId="0" xfId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quotePrefix="1" applyFont="1" applyAlignment="1">
      <alignment horizontal="center" vertical="center" wrapText="1"/>
    </xf>
    <xf numFmtId="0" fontId="25" fillId="0" borderId="0" xfId="2" applyFont="1" applyAlignment="1">
      <alignment horizontal="left" vertical="center" wrapText="1"/>
    </xf>
    <xf numFmtId="0" fontId="9" fillId="0" borderId="15" xfId="11" applyBorder="1" applyAlignment="1">
      <alignment horizontal="center" vertical="center"/>
    </xf>
    <xf numFmtId="0" fontId="9" fillId="0" borderId="16" xfId="11" applyBorder="1" applyAlignment="1">
      <alignment horizontal="center" vertical="center"/>
    </xf>
    <xf numFmtId="0" fontId="9" fillId="0" borderId="17" xfId="11" applyBorder="1" applyAlignment="1">
      <alignment horizontal="center" vertical="center"/>
    </xf>
    <xf numFmtId="0" fontId="11" fillId="0" borderId="0" xfId="12">
      <alignment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9" fillId="0" borderId="0" xfId="10" applyAlignment="1">
      <alignment horizontal="center" vertical="center" wrapText="1"/>
    </xf>
    <xf numFmtId="0" fontId="9" fillId="0" borderId="2" xfId="10" applyBorder="1" applyAlignment="1">
      <alignment horizontal="center" vertical="center" wrapText="1"/>
    </xf>
    <xf numFmtId="0" fontId="24" fillId="0" borderId="6" xfId="5" applyFont="1" applyBorder="1">
      <alignment horizontal="left" vertical="center"/>
    </xf>
    <xf numFmtId="0" fontId="24" fillId="0" borderId="0" xfId="5" applyFont="1">
      <alignment horizontal="left" vertical="center"/>
    </xf>
    <xf numFmtId="0" fontId="9" fillId="0" borderId="5" xfId="10" applyBorder="1">
      <alignment horizontal="center" vertical="center" wrapText="1"/>
    </xf>
    <xf numFmtId="0" fontId="9" fillId="0" borderId="2" xfId="10" applyBorder="1">
      <alignment horizontal="center" vertical="center" wrapText="1"/>
    </xf>
    <xf numFmtId="0" fontId="24" fillId="0" borderId="7" xfId="5" applyFont="1" applyBorder="1">
      <alignment horizontal="left" vertical="center"/>
    </xf>
    <xf numFmtId="0" fontId="26" fillId="39" borderId="0" xfId="10" applyFont="1" applyFill="1" applyAlignment="1">
      <alignment horizontal="center" vertical="center" wrapText="1"/>
    </xf>
    <xf numFmtId="0" fontId="26" fillId="39" borderId="2" xfId="10" applyFont="1" applyFill="1" applyBorder="1" applyAlignment="1">
      <alignment horizontal="center" vertical="center" wrapText="1"/>
    </xf>
    <xf numFmtId="0" fontId="27" fillId="40" borderId="0" xfId="2" applyFont="1" applyFill="1" applyAlignment="1">
      <alignment horizontal="right" vertical="top" wrapText="1"/>
    </xf>
    <xf numFmtId="0" fontId="27" fillId="40" borderId="0" xfId="2" applyFont="1" applyFill="1" applyAlignment="1">
      <alignment horizontal="left" vertical="center" wrapText="1"/>
    </xf>
    <xf numFmtId="0" fontId="28" fillId="40" borderId="0" xfId="0" applyFont="1" applyFill="1">
      <alignment horizontal="center" vertical="center"/>
    </xf>
    <xf numFmtId="6" fontId="28" fillId="40" borderId="0" xfId="0" applyNumberFormat="1" applyFont="1" applyFill="1">
      <alignment horizontal="center" vertical="center"/>
    </xf>
    <xf numFmtId="0" fontId="27" fillId="39" borderId="0" xfId="2" applyFont="1" applyFill="1" applyAlignment="1">
      <alignment horizontal="right" vertical="top" wrapText="1"/>
    </xf>
    <xf numFmtId="0" fontId="27" fillId="39" borderId="0" xfId="2" applyFont="1" applyFill="1" applyAlignment="1">
      <alignment horizontal="left" vertical="center" wrapText="1"/>
    </xf>
    <xf numFmtId="0" fontId="28" fillId="39" borderId="0" xfId="2" applyFont="1" applyFill="1" applyAlignment="1">
      <alignment horizontal="left" vertical="center" wrapText="1"/>
    </xf>
    <xf numFmtId="6" fontId="29" fillId="39" borderId="0" xfId="0" applyNumberFormat="1" applyFont="1" applyFill="1">
      <alignment horizontal="center" vertical="center"/>
    </xf>
    <xf numFmtId="0" fontId="29" fillId="39" borderId="0" xfId="0" applyFont="1" applyFill="1">
      <alignment horizontal="center" vertical="center"/>
    </xf>
    <xf numFmtId="0" fontId="30" fillId="41" borderId="0" xfId="0" applyFont="1" applyFill="1">
      <alignment horizontal="center" vertical="center"/>
    </xf>
    <xf numFmtId="6" fontId="30" fillId="41" borderId="0" xfId="0" applyNumberFormat="1" applyFont="1" applyFill="1">
      <alignment horizontal="center" vertical="center"/>
    </xf>
    <xf numFmtId="0" fontId="0" fillId="0" borderId="0" xfId="0" applyFont="1">
      <alignment horizontal="center" vertical="center"/>
    </xf>
  </cellXfs>
  <cellStyles count="59">
    <cellStyle name="% completado" xfId="16"/>
    <cellStyle name="20% - Énfasis1" xfId="36" builtinId="30" customBuiltin="1"/>
    <cellStyle name="20% - Énfasis2" xfId="40" builtinId="34" customBuiltin="1"/>
    <cellStyle name="20% - Énfasis3" xfId="44" builtinId="38" customBuiltin="1"/>
    <cellStyle name="20% - Énfasis4" xfId="48" builtinId="42" customBuiltin="1"/>
    <cellStyle name="20% - Énfasis5" xfId="52" builtinId="46" customBuiltin="1"/>
    <cellStyle name="20% - Énfasis6" xfId="56" builtinId="50" customBuiltin="1"/>
    <cellStyle name="40% - Énfasis1" xfId="37" builtinId="31" customBuiltin="1"/>
    <cellStyle name="40% - Énfasis2" xfId="41" builtinId="35" customBuiltin="1"/>
    <cellStyle name="40% - Énfasis3" xfId="45" builtinId="39" customBuiltin="1"/>
    <cellStyle name="40% - Énfasis4" xfId="49" builtinId="43" customBuiltin="1"/>
    <cellStyle name="40% - Énfasis5" xfId="53" builtinId="47" customBuiltin="1"/>
    <cellStyle name="40% - Énfasis6" xfId="57" builtinId="51" customBuiltin="1"/>
    <cellStyle name="60% - Énfasis1" xfId="38" builtinId="32" customBuiltin="1"/>
    <cellStyle name="60% - Énfasis2" xfId="42" builtinId="36" customBuiltin="1"/>
    <cellStyle name="60% - Énfasis3" xfId="46" builtinId="40" customBuiltin="1"/>
    <cellStyle name="60% - Énfasis4" xfId="50" builtinId="44" customBuiltin="1"/>
    <cellStyle name="60% - Énfasis5" xfId="54" builtinId="48" customBuiltin="1"/>
    <cellStyle name="60% - Énfasis6" xfId="58" builtinId="52" customBuiltin="1"/>
    <cellStyle name="Actividad" xfId="2"/>
    <cellStyle name="Bueno" xfId="24" builtinId="26" customBuiltin="1"/>
    <cellStyle name="Cálculo" xfId="29" builtinId="22" customBuiltin="1"/>
    <cellStyle name="Celda de comprobación" xfId="31" builtinId="23" customBuiltin="1"/>
    <cellStyle name="Celda vinculada" xfId="30" builtinId="24" customBuiltin="1"/>
    <cellStyle name="Control del periodo resaltado" xfId="7"/>
    <cellStyle name="Encabezado 1" xfId="1" builtinId="16" customBuiltin="1"/>
    <cellStyle name="Encabezado 4" xfId="11" builtinId="19" customBuiltin="1"/>
    <cellStyle name="Encabezados de los periodos" xfId="3"/>
    <cellStyle name="Encabezados del proyecto" xfId="4"/>
    <cellStyle name="Énfasis1" xfId="35" builtinId="29" customBuiltin="1"/>
    <cellStyle name="Énfasis2" xfId="39" builtinId="33" customBuiltin="1"/>
    <cellStyle name="Énfasis3" xfId="43" builtinId="37" customBuiltin="1"/>
    <cellStyle name="Énfasis4" xfId="47" builtinId="41" customBuiltin="1"/>
    <cellStyle name="Énfasis5" xfId="51" builtinId="45" customBuiltin="1"/>
    <cellStyle name="Énfasis6" xfId="55" builtinId="49" customBuiltin="1"/>
    <cellStyle name="Entrada" xfId="27" builtinId="20" customBuiltin="1"/>
    <cellStyle name="Etiqueta" xfId="5"/>
    <cellStyle name="Incorrecto" xfId="25" builtinId="27" customBuiltin="1"/>
    <cellStyle name="Leyenda de la duración real" xfId="15"/>
    <cellStyle name="Leyenda de la duración real (fuera del plan)" xfId="17"/>
    <cellStyle name="Leyenda del % completado (fuera del plan)" xfId="18"/>
    <cellStyle name="Leyenda del plan" xfId="14"/>
    <cellStyle name="Millares" xfId="19" builtinId="3" customBuiltin="1"/>
    <cellStyle name="Millares [0]" xfId="20" builtinId="6" customBuiltin="1"/>
    <cellStyle name="Moneda" xfId="21" builtinId="4" customBuiltin="1"/>
    <cellStyle name="Moneda [0]" xfId="22" builtinId="7" customBuiltin="1"/>
    <cellStyle name="Neutral" xfId="26" builtinId="28" customBuiltin="1"/>
    <cellStyle name="Normal" xfId="0" builtinId="0" customBuiltin="1"/>
    <cellStyle name="Notas" xfId="33" builtinId="10" customBuiltin="1"/>
    <cellStyle name="Porcentaje" xfId="23" builtinId="5" customBuiltin="1"/>
    <cellStyle name="Porcentaje completado" xfId="6"/>
    <cellStyle name="Salida" xfId="28" builtinId="21" customBuiltin="1"/>
    <cellStyle name="Texto de advertencia" xfId="32" builtinId="11" customBuiltin="1"/>
    <cellStyle name="Texto explicativo" xfId="12" builtinId="53" customBuiltin="1"/>
    <cellStyle name="Título" xfId="8" builtinId="15" customBuiltin="1"/>
    <cellStyle name="Título 2" xfId="9" builtinId="17" customBuiltin="1"/>
    <cellStyle name="Título 3" xfId="10" builtinId="18" customBuiltin="1"/>
    <cellStyle name="Total" xfId="34" builtinId="25" customBuiltin="1"/>
    <cellStyle name="Valor del periodo" xfId="13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colors>
    <mruColors>
      <color rgb="FFF7CC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B1:BO24"/>
  <sheetViews>
    <sheetView showGridLines="0" topLeftCell="B1" zoomScale="70" zoomScaleNormal="70" zoomScaleSheetLayoutView="80" workbookViewId="0">
      <selection activeCell="I10" sqref="I10"/>
    </sheetView>
  </sheetViews>
  <sheetFormatPr baseColWidth="10" defaultColWidth="2.77734375" defaultRowHeight="30" customHeight="1" x14ac:dyDescent="0.3"/>
  <cols>
    <col min="1" max="1" width="2.6640625" customWidth="1"/>
    <col min="2" max="2" width="50.77734375" customWidth="1"/>
    <col min="3" max="6" width="10.77734375" style="5" customWidth="1"/>
    <col min="7" max="7" width="15.77734375" style="1" customWidth="1"/>
    <col min="8" max="8" width="4.6640625" style="1" customWidth="1"/>
    <col min="9" max="11" width="3.109375" style="1" customWidth="1"/>
    <col min="12" max="27" width="3" style="1" customWidth="1"/>
    <col min="28" max="67" width="3" customWidth="1"/>
  </cols>
  <sheetData>
    <row r="1" spans="2:67" ht="60" customHeight="1" thickBot="1" x14ac:dyDescent="1.05">
      <c r="B1" s="8" t="s">
        <v>0</v>
      </c>
      <c r="C1" s="16"/>
      <c r="D1" s="16"/>
      <c r="E1" s="16"/>
      <c r="F1" s="16"/>
      <c r="G1" s="7"/>
    </row>
    <row r="2" spans="2:67" ht="21" customHeight="1" thickTop="1" thickBot="1" x14ac:dyDescent="0.35">
      <c r="B2" s="23"/>
      <c r="C2" s="23"/>
      <c r="D2" s="23"/>
      <c r="E2" s="23"/>
      <c r="F2" s="23"/>
      <c r="G2" s="3" t="s">
        <v>6</v>
      </c>
      <c r="H2" s="14">
        <v>49</v>
      </c>
      <c r="J2" s="15"/>
      <c r="K2" s="28" t="s">
        <v>8</v>
      </c>
      <c r="L2" s="29"/>
      <c r="M2" s="29"/>
      <c r="N2" s="29"/>
      <c r="O2" s="32"/>
      <c r="Q2" s="9"/>
      <c r="R2" s="28" t="s">
        <v>9</v>
      </c>
      <c r="S2" s="29"/>
      <c r="T2" s="29"/>
      <c r="U2" s="32"/>
      <c r="V2" s="10"/>
      <c r="W2" s="28" t="s">
        <v>10</v>
      </c>
      <c r="X2" s="29"/>
      <c r="Y2" s="29"/>
      <c r="Z2" s="29"/>
      <c r="AA2" s="29"/>
      <c r="AB2" s="11"/>
      <c r="AC2" s="28" t="s">
        <v>11</v>
      </c>
      <c r="AD2" s="29"/>
      <c r="AE2" s="29"/>
      <c r="AF2" s="29"/>
      <c r="AG2" s="29"/>
      <c r="AH2" s="29"/>
      <c r="AI2" s="32"/>
      <c r="AJ2" s="12"/>
      <c r="AK2" s="28" t="s">
        <v>12</v>
      </c>
      <c r="AL2" s="29"/>
      <c r="AM2" s="29"/>
      <c r="AN2" s="29"/>
      <c r="AO2" s="29"/>
      <c r="AP2" s="29"/>
      <c r="AQ2" s="29"/>
      <c r="AR2" s="29"/>
      <c r="AS2" s="29"/>
    </row>
    <row r="3" spans="2:67" s="6" customFormat="1" ht="39.9" customHeight="1" thickTop="1" thickBot="1" x14ac:dyDescent="0.35">
      <c r="B3" s="24" t="s">
        <v>1</v>
      </c>
      <c r="C3" s="26" t="s">
        <v>2</v>
      </c>
      <c r="D3" s="26" t="s">
        <v>3</v>
      </c>
      <c r="E3" s="26" t="s">
        <v>4</v>
      </c>
      <c r="F3" s="26" t="s">
        <v>5</v>
      </c>
      <c r="G3" s="30" t="s">
        <v>7</v>
      </c>
      <c r="H3" s="20" t="s">
        <v>30</v>
      </c>
      <c r="I3" s="21"/>
      <c r="J3" s="21"/>
      <c r="K3" s="21"/>
      <c r="L3" s="21"/>
      <c r="M3" s="21"/>
      <c r="N3" s="22"/>
      <c r="O3" s="20" t="s">
        <v>31</v>
      </c>
      <c r="P3" s="21"/>
      <c r="Q3" s="21"/>
      <c r="R3" s="21"/>
      <c r="S3" s="21"/>
      <c r="T3" s="21"/>
      <c r="U3" s="22"/>
      <c r="V3" s="20" t="s">
        <v>32</v>
      </c>
      <c r="W3" s="21"/>
      <c r="X3" s="21"/>
      <c r="Y3" s="21"/>
      <c r="Z3" s="21"/>
      <c r="AA3" s="21"/>
      <c r="AB3" s="22"/>
      <c r="AC3" s="20" t="s">
        <v>33</v>
      </c>
      <c r="AD3" s="21"/>
      <c r="AE3" s="21"/>
      <c r="AF3" s="21"/>
      <c r="AG3" s="21"/>
      <c r="AH3" s="21"/>
      <c r="AI3" s="22"/>
      <c r="AJ3" s="20" t="s">
        <v>34</v>
      </c>
      <c r="AK3" s="21"/>
      <c r="AL3" s="21"/>
      <c r="AM3" s="21"/>
      <c r="AN3" s="21"/>
      <c r="AO3" s="21"/>
      <c r="AP3" s="22"/>
      <c r="AQ3" s="20" t="s">
        <v>35</v>
      </c>
      <c r="AR3" s="21"/>
      <c r="AS3" s="21"/>
      <c r="AT3" s="21"/>
      <c r="AU3" s="21"/>
      <c r="AV3" s="21"/>
      <c r="AW3" s="22"/>
      <c r="AX3" s="20" t="s">
        <v>36</v>
      </c>
      <c r="AY3" s="21"/>
      <c r="AZ3" s="21"/>
      <c r="BA3" s="21"/>
      <c r="BB3" s="21"/>
      <c r="BC3" s="21"/>
      <c r="BD3" s="22"/>
      <c r="BE3" s="20" t="s">
        <v>37</v>
      </c>
      <c r="BF3" s="21"/>
      <c r="BG3" s="21"/>
      <c r="BH3" s="21"/>
      <c r="BI3" s="21"/>
      <c r="BJ3" s="21"/>
      <c r="BK3" s="22"/>
      <c r="BL3" s="20" t="s">
        <v>38</v>
      </c>
      <c r="BM3" s="21"/>
      <c r="BN3" s="21"/>
      <c r="BO3" s="21"/>
    </row>
    <row r="4" spans="2:67" ht="15.75" customHeight="1" x14ac:dyDescent="0.3">
      <c r="B4" s="25"/>
      <c r="C4" s="27"/>
      <c r="D4" s="27"/>
      <c r="E4" s="27"/>
      <c r="F4" s="27"/>
      <c r="G4" s="31"/>
      <c r="H4" s="2">
        <v>1</v>
      </c>
      <c r="I4" s="2">
        <v>2</v>
      </c>
      <c r="J4" s="2">
        <v>3</v>
      </c>
      <c r="K4" s="2">
        <v>4</v>
      </c>
      <c r="L4" s="2">
        <v>5</v>
      </c>
      <c r="M4" s="2">
        <v>6</v>
      </c>
      <c r="N4" s="2">
        <v>7</v>
      </c>
      <c r="O4" s="2">
        <v>8</v>
      </c>
      <c r="P4" s="2">
        <v>9</v>
      </c>
      <c r="Q4" s="2">
        <v>10</v>
      </c>
      <c r="R4" s="2">
        <v>11</v>
      </c>
      <c r="S4" s="2">
        <v>12</v>
      </c>
      <c r="T4" s="2">
        <v>13</v>
      </c>
      <c r="U4" s="2">
        <v>14</v>
      </c>
      <c r="V4" s="2">
        <v>15</v>
      </c>
      <c r="W4" s="2">
        <v>16</v>
      </c>
      <c r="X4" s="2">
        <v>17</v>
      </c>
      <c r="Y4" s="2">
        <v>18</v>
      </c>
      <c r="Z4" s="2">
        <v>19</v>
      </c>
      <c r="AA4" s="2">
        <v>20</v>
      </c>
      <c r="AB4" s="2">
        <v>21</v>
      </c>
      <c r="AC4" s="2">
        <v>22</v>
      </c>
      <c r="AD4" s="2">
        <v>23</v>
      </c>
      <c r="AE4" s="2">
        <v>24</v>
      </c>
      <c r="AF4" s="2">
        <v>25</v>
      </c>
      <c r="AG4" s="2">
        <v>26</v>
      </c>
      <c r="AH4" s="2">
        <v>27</v>
      </c>
      <c r="AI4" s="2">
        <v>28</v>
      </c>
      <c r="AJ4" s="2">
        <v>29</v>
      </c>
      <c r="AK4" s="2">
        <v>30</v>
      </c>
      <c r="AL4" s="2">
        <v>31</v>
      </c>
      <c r="AM4" s="2">
        <v>32</v>
      </c>
      <c r="AN4" s="2">
        <v>33</v>
      </c>
      <c r="AO4" s="2">
        <v>34</v>
      </c>
      <c r="AP4" s="2">
        <v>35</v>
      </c>
      <c r="AQ4" s="2">
        <v>36</v>
      </c>
      <c r="AR4" s="2">
        <v>37</v>
      </c>
      <c r="AS4" s="2">
        <v>38</v>
      </c>
      <c r="AT4" s="2">
        <v>39</v>
      </c>
      <c r="AU4" s="2">
        <v>40</v>
      </c>
      <c r="AV4" s="2">
        <v>41</v>
      </c>
      <c r="AW4" s="2">
        <v>42</v>
      </c>
      <c r="AX4" s="2">
        <v>43</v>
      </c>
      <c r="AY4" s="2">
        <v>44</v>
      </c>
      <c r="AZ4" s="2">
        <v>45</v>
      </c>
      <c r="BA4" s="2">
        <v>46</v>
      </c>
      <c r="BB4" s="2">
        <v>47</v>
      </c>
      <c r="BC4" s="2">
        <v>48</v>
      </c>
      <c r="BD4" s="2">
        <v>49</v>
      </c>
      <c r="BE4" s="2">
        <v>50</v>
      </c>
      <c r="BF4" s="2">
        <v>51</v>
      </c>
      <c r="BG4" s="2">
        <v>52</v>
      </c>
      <c r="BH4" s="2">
        <v>53</v>
      </c>
      <c r="BI4" s="2">
        <v>54</v>
      </c>
      <c r="BJ4" s="2">
        <v>55</v>
      </c>
      <c r="BK4" s="2">
        <v>56</v>
      </c>
      <c r="BL4" s="2">
        <v>57</v>
      </c>
      <c r="BM4" s="2">
        <v>58</v>
      </c>
      <c r="BN4" s="2">
        <v>59</v>
      </c>
      <c r="BO4" s="2">
        <v>60</v>
      </c>
    </row>
    <row r="5" spans="2:67" ht="30" customHeight="1" x14ac:dyDescent="0.3">
      <c r="B5" s="19" t="s">
        <v>50</v>
      </c>
      <c r="C5" s="17">
        <v>1</v>
      </c>
      <c r="D5" s="17">
        <v>2</v>
      </c>
      <c r="E5" s="17">
        <v>1</v>
      </c>
      <c r="F5" s="17">
        <v>2</v>
      </c>
      <c r="G5" s="4">
        <v>1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 spans="2:67" ht="30" customHeight="1" x14ac:dyDescent="0.3">
      <c r="B6" s="19" t="s">
        <v>51</v>
      </c>
      <c r="C6" s="17">
        <v>3</v>
      </c>
      <c r="D6" s="17">
        <v>2</v>
      </c>
      <c r="E6" s="17">
        <v>3</v>
      </c>
      <c r="F6" s="17">
        <v>2</v>
      </c>
      <c r="G6" s="4">
        <v>1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 spans="2:67" ht="30" customHeight="1" x14ac:dyDescent="0.3">
      <c r="B7" s="13" t="s">
        <v>13</v>
      </c>
      <c r="C7" s="17">
        <v>4</v>
      </c>
      <c r="D7" s="17">
        <v>2</v>
      </c>
      <c r="E7" s="17">
        <v>4</v>
      </c>
      <c r="F7" s="17">
        <v>1</v>
      </c>
      <c r="G7" s="4">
        <v>1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</row>
    <row r="8" spans="2:67" ht="30" customHeight="1" x14ac:dyDescent="0.3">
      <c r="B8" s="13" t="s">
        <v>15</v>
      </c>
      <c r="C8" s="17">
        <v>6</v>
      </c>
      <c r="D8" s="17">
        <v>2</v>
      </c>
      <c r="E8" s="17">
        <v>6</v>
      </c>
      <c r="F8" s="17">
        <v>2</v>
      </c>
      <c r="G8" s="4">
        <v>1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</row>
    <row r="9" spans="2:67" ht="30" customHeight="1" x14ac:dyDescent="0.3">
      <c r="B9" s="13" t="s">
        <v>14</v>
      </c>
      <c r="C9" s="17">
        <v>8</v>
      </c>
      <c r="D9" s="17">
        <v>2</v>
      </c>
      <c r="E9" s="17">
        <v>8</v>
      </c>
      <c r="F9" s="17">
        <v>1</v>
      </c>
      <c r="G9" s="4">
        <v>1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</row>
    <row r="10" spans="2:67" ht="30" customHeight="1" x14ac:dyDescent="0.3">
      <c r="B10" s="13" t="s">
        <v>17</v>
      </c>
      <c r="C10" s="17">
        <v>10</v>
      </c>
      <c r="D10" s="17">
        <v>2</v>
      </c>
      <c r="E10" s="17">
        <v>10</v>
      </c>
      <c r="F10" s="17">
        <v>2</v>
      </c>
      <c r="G10" s="4">
        <v>1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</row>
    <row r="11" spans="2:67" ht="30" customHeight="1" x14ac:dyDescent="0.3">
      <c r="B11" s="13" t="s">
        <v>16</v>
      </c>
      <c r="C11" s="17">
        <v>12</v>
      </c>
      <c r="D11" s="17">
        <v>2</v>
      </c>
      <c r="E11" s="17">
        <v>12</v>
      </c>
      <c r="F11" s="17">
        <v>3</v>
      </c>
      <c r="G11" s="4">
        <v>1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</row>
    <row r="12" spans="2:67" ht="30" customHeight="1" x14ac:dyDescent="0.3">
      <c r="B12" s="13" t="s">
        <v>15</v>
      </c>
      <c r="C12" s="17">
        <v>15</v>
      </c>
      <c r="D12" s="17">
        <v>2</v>
      </c>
      <c r="E12" s="17">
        <v>15</v>
      </c>
      <c r="F12" s="17">
        <v>2</v>
      </c>
      <c r="G12" s="4">
        <v>1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2:67" ht="30" customHeight="1" x14ac:dyDescent="0.3">
      <c r="B13" s="13" t="s">
        <v>18</v>
      </c>
      <c r="C13" s="17">
        <v>16</v>
      </c>
      <c r="D13" s="17">
        <v>2</v>
      </c>
      <c r="E13" s="17">
        <v>16</v>
      </c>
      <c r="F13" s="17">
        <v>2</v>
      </c>
      <c r="G13" s="4">
        <v>1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2:67" ht="30" customHeight="1" x14ac:dyDescent="0.3">
      <c r="B14" s="13" t="s">
        <v>19</v>
      </c>
      <c r="C14" s="17">
        <v>18</v>
      </c>
      <c r="D14" s="17">
        <v>1</v>
      </c>
      <c r="E14" s="17">
        <v>18</v>
      </c>
      <c r="F14" s="17">
        <v>1</v>
      </c>
      <c r="G14" s="4">
        <v>1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2:67" ht="30" customHeight="1" x14ac:dyDescent="0.3">
      <c r="B15" s="13" t="s">
        <v>20</v>
      </c>
      <c r="C15" s="18">
        <v>19</v>
      </c>
      <c r="D15" s="17">
        <v>1</v>
      </c>
      <c r="E15" s="17">
        <v>19</v>
      </c>
      <c r="F15" s="17">
        <v>1</v>
      </c>
      <c r="G15" s="4">
        <v>1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2:67" ht="30" customHeight="1" x14ac:dyDescent="0.3">
      <c r="B16" s="13" t="s">
        <v>21</v>
      </c>
      <c r="C16" s="17">
        <v>20</v>
      </c>
      <c r="D16" s="17">
        <v>1</v>
      </c>
      <c r="E16" s="17">
        <v>20</v>
      </c>
      <c r="F16" s="17">
        <v>1</v>
      </c>
      <c r="G16" s="4">
        <v>1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2:27" ht="30" customHeight="1" x14ac:dyDescent="0.3">
      <c r="B17" s="13" t="s">
        <v>22</v>
      </c>
      <c r="C17" s="17">
        <v>21</v>
      </c>
      <c r="D17" s="17">
        <v>5</v>
      </c>
      <c r="E17" s="17">
        <v>21</v>
      </c>
      <c r="F17" s="17">
        <v>4</v>
      </c>
      <c r="G17" s="4">
        <v>1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2:27" ht="30" customHeight="1" x14ac:dyDescent="0.3">
      <c r="B18" s="13" t="s">
        <v>23</v>
      </c>
      <c r="C18" s="17">
        <v>26</v>
      </c>
      <c r="D18" s="17">
        <v>12</v>
      </c>
      <c r="E18" s="17">
        <v>26</v>
      </c>
      <c r="F18" s="17">
        <v>13</v>
      </c>
      <c r="G18" s="4">
        <v>1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2:27" ht="30" customHeight="1" x14ac:dyDescent="0.3">
      <c r="B19" s="13" t="s">
        <v>24</v>
      </c>
      <c r="C19" s="17">
        <v>39</v>
      </c>
      <c r="D19" s="17">
        <v>10</v>
      </c>
      <c r="E19" s="17">
        <v>39</v>
      </c>
      <c r="F19" s="17">
        <v>11</v>
      </c>
      <c r="G19" s="4">
        <v>1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2:27" ht="30" customHeight="1" x14ac:dyDescent="0.3">
      <c r="B20" s="13" t="s">
        <v>25</v>
      </c>
      <c r="C20" s="17">
        <v>50</v>
      </c>
      <c r="D20" s="17">
        <v>3</v>
      </c>
      <c r="E20" s="17">
        <v>50</v>
      </c>
      <c r="F20" s="17">
        <v>3</v>
      </c>
      <c r="G20" s="4">
        <v>1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2:27" ht="30" customHeight="1" x14ac:dyDescent="0.3">
      <c r="B21" s="13" t="s">
        <v>26</v>
      </c>
      <c r="C21" s="17">
        <v>50</v>
      </c>
      <c r="D21" s="17">
        <v>3</v>
      </c>
      <c r="E21" s="17">
        <v>50</v>
      </c>
      <c r="F21" s="17">
        <v>3</v>
      </c>
      <c r="G21" s="4">
        <v>1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2:27" ht="30" customHeight="1" x14ac:dyDescent="0.3">
      <c r="B22" s="13" t="s">
        <v>27</v>
      </c>
      <c r="C22" s="17">
        <v>53</v>
      </c>
      <c r="D22" s="17">
        <v>3</v>
      </c>
      <c r="E22" s="17">
        <v>53</v>
      </c>
      <c r="F22" s="17">
        <v>2</v>
      </c>
      <c r="G22" s="4">
        <v>1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2:27" ht="30" customHeight="1" x14ac:dyDescent="0.3">
      <c r="B23" s="13" t="s">
        <v>29</v>
      </c>
      <c r="C23" s="17">
        <v>56</v>
      </c>
      <c r="D23" s="17">
        <v>2</v>
      </c>
      <c r="E23" s="17">
        <v>56</v>
      </c>
      <c r="F23" s="17">
        <v>2</v>
      </c>
      <c r="G23" s="4">
        <v>1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2:27" ht="30" customHeight="1" x14ac:dyDescent="0.3">
      <c r="B24" s="13" t="s">
        <v>28</v>
      </c>
      <c r="C24" s="17">
        <v>58</v>
      </c>
      <c r="D24" s="17">
        <v>3</v>
      </c>
      <c r="E24" s="17">
        <v>58</v>
      </c>
      <c r="F24" s="17">
        <v>2</v>
      </c>
      <c r="G24" s="4"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</sheetData>
  <mergeCells count="21">
    <mergeCell ref="AX3:BD3"/>
    <mergeCell ref="BE3:BK3"/>
    <mergeCell ref="BL3:BO3"/>
    <mergeCell ref="B2:F2"/>
    <mergeCell ref="B3:B4"/>
    <mergeCell ref="C3:C4"/>
    <mergeCell ref="D3:D4"/>
    <mergeCell ref="E3:E4"/>
    <mergeCell ref="F3:F4"/>
    <mergeCell ref="AK2:AS2"/>
    <mergeCell ref="G3:G4"/>
    <mergeCell ref="K2:O2"/>
    <mergeCell ref="R2:U2"/>
    <mergeCell ref="AC2:AI2"/>
    <mergeCell ref="W2:AA2"/>
    <mergeCell ref="H3:N3"/>
    <mergeCell ref="O3:U3"/>
    <mergeCell ref="V3:AB3"/>
    <mergeCell ref="AC3:AI3"/>
    <mergeCell ref="AJ3:AP3"/>
    <mergeCell ref="AQ3:AW3"/>
  </mergeCells>
  <conditionalFormatting sqref="H5:BO24">
    <cfRule type="expression" dxfId="9" priority="1">
      <formula>PercentComplete</formula>
    </cfRule>
    <cfRule type="expression" dxfId="8" priority="3">
      <formula>PercentCompleteBeyond</formula>
    </cfRule>
    <cfRule type="expression" dxfId="7" priority="4">
      <formula>Real</formula>
    </cfRule>
    <cfRule type="expression" dxfId="6" priority="5">
      <formula>ActualBeyond</formula>
    </cfRule>
    <cfRule type="expression" dxfId="5" priority="6">
      <formula>Plan</formula>
    </cfRule>
    <cfRule type="expression" dxfId="4" priority="7">
      <formula>H$4=period_selected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25:BO25">
    <cfRule type="expression" dxfId="1" priority="2">
      <formula>TRUE</formula>
    </cfRule>
  </conditionalFormatting>
  <conditionalFormatting sqref="H4:BO4">
    <cfRule type="expression" dxfId="0" priority="8">
      <formula>H$4=period_selected</formula>
    </cfRule>
  </conditionalFormatting>
  <dataValidations count="16">
    <dataValidation allowBlank="1" showInputMessage="1" showErrorMessage="1" prompt="El planificador de proyectos usa periodos para los intervalos. Inicio = 1 es el periodo 1 y la duración = 5 significa que el proyecto dura 5 periodos desde el periodo de inicio. Introduzca datos a partir de la celda B5 para actualizar el gráfico." sqref="A1"/>
    <dataValidation type="list" errorStyle="warning" allowBlank="1" showInputMessage="1" showErrorMessage="1" error="Escriba un valor del 1 al 60 o seleccione un periodo de la lista (presione CANCELAR, ALT+FLECHA ABAJO y, a continuación, presione ENTRAR para seleccionar un valor)." prompt="Escriba un periodo en el intervalo de 1 a 60 o seleccione un periodo de la lista. Presione ALT+FLECHA ABAJO para desplazarse a la lista y, después, presione ENTRAR para seleccionar un valor." sqref="H2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Esta celda de la leyenda indica la duración del plan" sqref="J2"/>
    <dataValidation allowBlank="1" showInputMessage="1" showErrorMessage="1" prompt="Esta celda de la leyenda indica la duración real" sqref="Q2"/>
    <dataValidation allowBlank="1" showInputMessage="1" showErrorMessage="1" prompt="Esta celda de la leyenda indica el porcentaje del proyecto completado" sqref="V2"/>
    <dataValidation allowBlank="1" showInputMessage="1" showErrorMessage="1" prompt="Esta celda de la leyenda indica la duración real fuera del plan" sqref="AB2"/>
    <dataValidation allowBlank="1" showInputMessage="1" showErrorMessage="1" prompt="Esta celda de la leyenda indica el porcentaje del proyecto completado fuera del plan" sqref="AJ2"/>
    <dataValidation allowBlank="1" showInputMessage="1" showErrorMessage="1" prompt="Los periodos se representan del 1 al 60, desde la celda H4 a la celda BO4 " sqref="H3"/>
    <dataValidation allowBlank="1" showInputMessage="1" showErrorMessage="1" prompt="Escriba la actividad en la columna B, a partir de la celda B5_x000a_" sqref="B3:B4"/>
    <dataValidation allowBlank="1" showInputMessage="1" showErrorMessage="1" prompt="Escriba el periodo de inicio del plan en la columna C, a partir de la celda C5." sqref="C3:C4"/>
    <dataValidation allowBlank="1" showInputMessage="1" showErrorMessage="1" prompt="Escriba el periodo de duración del plan en la columna D, a partir de la celda D5." sqref="D3:D4"/>
    <dataValidation allowBlank="1" showInputMessage="1" showErrorMessage="1" prompt="Escriba el periodo de inicio real del plan en la columna E, a partir de la celda E5." sqref="E3:E4"/>
    <dataValidation allowBlank="1" showInputMessage="1" showErrorMessage="1" prompt="Escriba el periodo de duración real del plan en la columna F, a partir de la celda F5." sqref="F3:F4"/>
    <dataValidation allowBlank="1" showInputMessage="1" showErrorMessage="1" prompt="Escriba el porcentaje de proyecto completado en la columna G, a partir de la celda G5." sqref="G3:G4"/>
    <dataValidation allowBlank="1" showInputMessage="1" showErrorMessage="1" prompt="Título del proyecto. Escriba un nuevo título en esta celda. Resalte un periodo en H2. La leyenda del gráfico está en las celdas J2 a AI2." sqref="B1"/>
    <dataValidation allowBlank="1" showInputMessage="1" showErrorMessage="1" prompt="Seleccione un período para resaltar en H2. La leyenda de un gráfico está en las celdas J2 a AI2." sqref="B2:F2"/>
  </dataValidations>
  <printOptions horizontalCentered="1"/>
  <pageMargins left="0.45" right="0.45" top="0.5" bottom="0.5" header="0.3" footer="0.3"/>
  <pageSetup paperSize="9" scale="5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tabSelected="1" zoomScale="85" zoomScaleNormal="85" workbookViewId="0">
      <selection activeCell="H27" sqref="H27"/>
    </sheetView>
  </sheetViews>
  <sheetFormatPr baseColWidth="10" defaultRowHeight="14.4" x14ac:dyDescent="0.3"/>
  <cols>
    <col min="2" max="2" width="53.109375" customWidth="1"/>
    <col min="3" max="3" width="27.33203125" customWidth="1"/>
    <col min="4" max="4" width="12.44140625" customWidth="1"/>
    <col min="5" max="5" width="14.109375" customWidth="1"/>
    <col min="6" max="6" width="20.44140625" customWidth="1"/>
  </cols>
  <sheetData>
    <row r="1" spans="1:6" ht="14.4" customHeight="1" x14ac:dyDescent="0.3">
      <c r="A1" s="33" t="s">
        <v>39</v>
      </c>
      <c r="B1" s="33" t="s">
        <v>40</v>
      </c>
      <c r="C1" s="33" t="s">
        <v>41</v>
      </c>
      <c r="D1" s="33" t="s">
        <v>46</v>
      </c>
      <c r="E1" s="33" t="s">
        <v>47</v>
      </c>
      <c r="F1" s="33" t="s">
        <v>42</v>
      </c>
    </row>
    <row r="2" spans="1:6" x14ac:dyDescent="0.3">
      <c r="A2" s="34"/>
      <c r="B2" s="34"/>
      <c r="C2" s="34"/>
      <c r="D2" s="34"/>
      <c r="E2" s="34"/>
      <c r="F2" s="34"/>
    </row>
    <row r="3" spans="1:6" ht="17.399999999999999" x14ac:dyDescent="0.3">
      <c r="A3" s="35">
        <v>1</v>
      </c>
      <c r="B3" s="36" t="s">
        <v>50</v>
      </c>
      <c r="C3" s="37"/>
      <c r="D3" s="37"/>
      <c r="E3" s="37">
        <v>2</v>
      </c>
      <c r="F3" s="38">
        <f>D4*E3+D5*E3+D6*E3</f>
        <v>400</v>
      </c>
    </row>
    <row r="4" spans="1:6" ht="17.399999999999999" x14ac:dyDescent="0.3">
      <c r="A4" s="39"/>
      <c r="B4" s="40"/>
      <c r="C4" s="41" t="s">
        <v>48</v>
      </c>
      <c r="D4" s="42">
        <v>80</v>
      </c>
      <c r="E4" s="43"/>
      <c r="F4" s="43"/>
    </row>
    <row r="5" spans="1:6" ht="17.399999999999999" x14ac:dyDescent="0.3">
      <c r="A5" s="39"/>
      <c r="B5" s="40"/>
      <c r="C5" s="41" t="s">
        <v>49</v>
      </c>
      <c r="D5" s="42">
        <v>80</v>
      </c>
      <c r="E5" s="43"/>
      <c r="F5" s="43"/>
    </row>
    <row r="6" spans="1:6" ht="17.399999999999999" x14ac:dyDescent="0.3">
      <c r="A6" s="39"/>
      <c r="B6" s="40"/>
      <c r="C6" s="41" t="s">
        <v>45</v>
      </c>
      <c r="D6" s="42">
        <v>40</v>
      </c>
      <c r="E6" s="43"/>
      <c r="F6" s="43"/>
    </row>
    <row r="7" spans="1:6" ht="17.399999999999999" x14ac:dyDescent="0.3">
      <c r="A7" s="35">
        <v>2</v>
      </c>
      <c r="B7" s="36" t="s">
        <v>51</v>
      </c>
      <c r="C7" s="37"/>
      <c r="D7" s="37"/>
      <c r="E7" s="37">
        <v>2</v>
      </c>
      <c r="F7" s="38">
        <f>D8*E7+D9*E7+D10*E7</f>
        <v>400</v>
      </c>
    </row>
    <row r="8" spans="1:6" ht="17.399999999999999" x14ac:dyDescent="0.3">
      <c r="A8" s="39"/>
      <c r="B8" s="40"/>
      <c r="C8" s="41" t="s">
        <v>48</v>
      </c>
      <c r="D8" s="42">
        <v>80</v>
      </c>
      <c r="E8" s="43"/>
      <c r="F8" s="43"/>
    </row>
    <row r="9" spans="1:6" ht="17.399999999999999" x14ac:dyDescent="0.3">
      <c r="A9" s="39"/>
      <c r="B9" s="40"/>
      <c r="C9" s="41" t="s">
        <v>49</v>
      </c>
      <c r="D9" s="42">
        <v>80</v>
      </c>
      <c r="E9" s="43"/>
      <c r="F9" s="43"/>
    </row>
    <row r="10" spans="1:6" ht="17.399999999999999" x14ac:dyDescent="0.3">
      <c r="A10" s="39"/>
      <c r="B10" s="40"/>
      <c r="C10" s="41" t="s">
        <v>45</v>
      </c>
      <c r="D10" s="42">
        <v>40</v>
      </c>
      <c r="E10" s="43"/>
      <c r="F10" s="43"/>
    </row>
    <row r="11" spans="1:6" ht="17.399999999999999" x14ac:dyDescent="0.3">
      <c r="A11" s="35">
        <v>3</v>
      </c>
      <c r="B11" s="36" t="s">
        <v>13</v>
      </c>
      <c r="C11" s="37"/>
      <c r="D11" s="37"/>
      <c r="E11" s="37">
        <v>1</v>
      </c>
      <c r="F11" s="38">
        <f>D12*E11+D13*E11+D14*E11</f>
        <v>200</v>
      </c>
    </row>
    <row r="12" spans="1:6" ht="17.399999999999999" x14ac:dyDescent="0.3">
      <c r="A12" s="39"/>
      <c r="B12" s="40"/>
      <c r="C12" s="41" t="s">
        <v>48</v>
      </c>
      <c r="D12" s="42">
        <v>80</v>
      </c>
      <c r="E12" s="43"/>
      <c r="F12" s="43"/>
    </row>
    <row r="13" spans="1:6" ht="17.399999999999999" x14ac:dyDescent="0.3">
      <c r="A13" s="39"/>
      <c r="B13" s="40"/>
      <c r="C13" s="41" t="s">
        <v>49</v>
      </c>
      <c r="D13" s="42">
        <v>80</v>
      </c>
      <c r="E13" s="43"/>
      <c r="F13" s="43"/>
    </row>
    <row r="14" spans="1:6" ht="17.399999999999999" x14ac:dyDescent="0.3">
      <c r="A14" s="39"/>
      <c r="B14" s="40"/>
      <c r="C14" s="41" t="s">
        <v>45</v>
      </c>
      <c r="D14" s="42">
        <v>40</v>
      </c>
      <c r="E14" s="43"/>
      <c r="F14" s="43"/>
    </row>
    <row r="15" spans="1:6" ht="17.399999999999999" x14ac:dyDescent="0.3">
      <c r="A15" s="35">
        <v>4</v>
      </c>
      <c r="B15" s="36" t="s">
        <v>15</v>
      </c>
      <c r="C15" s="37"/>
      <c r="D15" s="37"/>
      <c r="E15" s="37">
        <v>2</v>
      </c>
      <c r="F15" s="38">
        <f>D16*E15+D17*E15+D18*E15</f>
        <v>400</v>
      </c>
    </row>
    <row r="16" spans="1:6" ht="17.399999999999999" x14ac:dyDescent="0.3">
      <c r="A16" s="39"/>
      <c r="B16" s="40"/>
      <c r="C16" s="41" t="s">
        <v>48</v>
      </c>
      <c r="D16" s="42">
        <v>80</v>
      </c>
      <c r="E16" s="43"/>
      <c r="F16" s="43"/>
    </row>
    <row r="17" spans="1:8" ht="17.399999999999999" x14ac:dyDescent="0.3">
      <c r="A17" s="39"/>
      <c r="B17" s="40"/>
      <c r="C17" s="41" t="s">
        <v>49</v>
      </c>
      <c r="D17" s="42">
        <v>80</v>
      </c>
      <c r="E17" s="43"/>
      <c r="F17" s="43"/>
    </row>
    <row r="18" spans="1:8" ht="17.399999999999999" x14ac:dyDescent="0.3">
      <c r="A18" s="39"/>
      <c r="B18" s="40"/>
      <c r="C18" s="41" t="s">
        <v>45</v>
      </c>
      <c r="D18" s="42">
        <v>40</v>
      </c>
      <c r="E18" s="43"/>
      <c r="F18" s="43"/>
    </row>
    <row r="19" spans="1:8" ht="17.399999999999999" x14ac:dyDescent="0.3">
      <c r="A19" s="35">
        <v>5</v>
      </c>
      <c r="B19" s="36" t="s">
        <v>14</v>
      </c>
      <c r="C19" s="37"/>
      <c r="D19" s="37"/>
      <c r="E19" s="37">
        <v>1</v>
      </c>
      <c r="F19" s="38">
        <f>D20*E19+D21*E19+D22*E19</f>
        <v>200</v>
      </c>
    </row>
    <row r="20" spans="1:8" ht="17.399999999999999" x14ac:dyDescent="0.3">
      <c r="A20" s="39"/>
      <c r="B20" s="40"/>
      <c r="C20" s="41" t="s">
        <v>48</v>
      </c>
      <c r="D20" s="42">
        <v>80</v>
      </c>
      <c r="E20" s="43"/>
      <c r="F20" s="43"/>
    </row>
    <row r="21" spans="1:8" ht="17.399999999999999" x14ac:dyDescent="0.3">
      <c r="A21" s="39"/>
      <c r="B21" s="40"/>
      <c r="C21" s="41" t="s">
        <v>49</v>
      </c>
      <c r="D21" s="42">
        <v>80</v>
      </c>
      <c r="E21" s="43"/>
      <c r="F21" s="43"/>
    </row>
    <row r="22" spans="1:8" ht="17.399999999999999" x14ac:dyDescent="0.3">
      <c r="A22" s="39"/>
      <c r="B22" s="40"/>
      <c r="C22" s="41" t="s">
        <v>45</v>
      </c>
      <c r="D22" s="42">
        <v>40</v>
      </c>
      <c r="E22" s="43"/>
      <c r="F22" s="43"/>
    </row>
    <row r="23" spans="1:8" ht="17.399999999999999" x14ac:dyDescent="0.3">
      <c r="A23" s="35">
        <v>6</v>
      </c>
      <c r="B23" s="36" t="s">
        <v>17</v>
      </c>
      <c r="C23" s="37"/>
      <c r="D23" s="37"/>
      <c r="E23" s="37">
        <v>2</v>
      </c>
      <c r="F23" s="38">
        <f>D24*E23+D25*E23+D26*E23</f>
        <v>400</v>
      </c>
    </row>
    <row r="24" spans="1:8" ht="17.399999999999999" x14ac:dyDescent="0.3">
      <c r="A24" s="39"/>
      <c r="B24" s="40"/>
      <c r="C24" s="41" t="s">
        <v>43</v>
      </c>
      <c r="D24" s="42">
        <v>80</v>
      </c>
      <c r="E24" s="43"/>
      <c r="F24" s="43"/>
    </row>
    <row r="25" spans="1:8" ht="17.399999999999999" x14ac:dyDescent="0.3">
      <c r="A25" s="39"/>
      <c r="B25" s="40"/>
      <c r="C25" s="41" t="s">
        <v>44</v>
      </c>
      <c r="D25" s="42">
        <v>80</v>
      </c>
      <c r="E25" s="43"/>
      <c r="F25" s="43"/>
    </row>
    <row r="26" spans="1:8" ht="17.399999999999999" x14ac:dyDescent="0.3">
      <c r="A26" s="39"/>
      <c r="B26" s="40"/>
      <c r="C26" s="41" t="s">
        <v>45</v>
      </c>
      <c r="D26" s="42">
        <v>40</v>
      </c>
      <c r="E26" s="43"/>
      <c r="F26" s="43"/>
    </row>
    <row r="27" spans="1:8" ht="17.399999999999999" x14ac:dyDescent="0.3">
      <c r="A27" s="35">
        <v>7</v>
      </c>
      <c r="B27" s="36" t="s">
        <v>16</v>
      </c>
      <c r="C27" s="37"/>
      <c r="D27" s="37"/>
      <c r="E27" s="37">
        <v>3</v>
      </c>
      <c r="F27" s="38">
        <f>D28*E27+D29*E27+D30*E27</f>
        <v>600</v>
      </c>
      <c r="H27" s="46"/>
    </row>
    <row r="28" spans="1:8" ht="17.399999999999999" x14ac:dyDescent="0.3">
      <c r="A28" s="39"/>
      <c r="B28" s="40"/>
      <c r="C28" s="41" t="s">
        <v>48</v>
      </c>
      <c r="D28" s="42">
        <v>80</v>
      </c>
      <c r="E28" s="43"/>
      <c r="F28" s="43"/>
    </row>
    <row r="29" spans="1:8" ht="17.399999999999999" x14ac:dyDescent="0.3">
      <c r="A29" s="39"/>
      <c r="B29" s="40"/>
      <c r="C29" s="41" t="s">
        <v>49</v>
      </c>
      <c r="D29" s="42">
        <v>80</v>
      </c>
      <c r="E29" s="43"/>
      <c r="F29" s="43"/>
    </row>
    <row r="30" spans="1:8" ht="17.399999999999999" x14ac:dyDescent="0.3">
      <c r="A30" s="39"/>
      <c r="B30" s="40"/>
      <c r="C30" s="41" t="s">
        <v>45</v>
      </c>
      <c r="D30" s="42">
        <v>40</v>
      </c>
      <c r="E30" s="43"/>
      <c r="F30" s="43"/>
    </row>
    <row r="31" spans="1:8" ht="17.399999999999999" x14ac:dyDescent="0.3">
      <c r="A31" s="35">
        <v>8</v>
      </c>
      <c r="B31" s="36" t="s">
        <v>15</v>
      </c>
      <c r="C31" s="37"/>
      <c r="D31" s="37"/>
      <c r="E31" s="37">
        <v>2</v>
      </c>
      <c r="F31" s="38">
        <f>D32*E31+D33*E31+D34*E31</f>
        <v>400</v>
      </c>
    </row>
    <row r="32" spans="1:8" ht="17.399999999999999" x14ac:dyDescent="0.3">
      <c r="A32" s="39"/>
      <c r="B32" s="40"/>
      <c r="C32" s="41" t="s">
        <v>48</v>
      </c>
      <c r="D32" s="42">
        <v>80</v>
      </c>
      <c r="E32" s="43"/>
      <c r="F32" s="43"/>
    </row>
    <row r="33" spans="1:6" ht="17.399999999999999" x14ac:dyDescent="0.3">
      <c r="A33" s="39"/>
      <c r="B33" s="40"/>
      <c r="C33" s="41" t="s">
        <v>49</v>
      </c>
      <c r="D33" s="42">
        <v>80</v>
      </c>
      <c r="E33" s="43"/>
      <c r="F33" s="43"/>
    </row>
    <row r="34" spans="1:6" ht="17.399999999999999" x14ac:dyDescent="0.3">
      <c r="A34" s="39"/>
      <c r="B34" s="40"/>
      <c r="C34" s="41" t="s">
        <v>45</v>
      </c>
      <c r="D34" s="42">
        <v>40</v>
      </c>
      <c r="E34" s="43"/>
      <c r="F34" s="43"/>
    </row>
    <row r="35" spans="1:6" ht="17.399999999999999" x14ac:dyDescent="0.3">
      <c r="A35" s="35">
        <v>9</v>
      </c>
      <c r="B35" s="36" t="s">
        <v>18</v>
      </c>
      <c r="C35" s="37"/>
      <c r="D35" s="37"/>
      <c r="E35" s="37">
        <v>2</v>
      </c>
      <c r="F35" s="38">
        <f>D36*E35+D37*E35+D38*E35</f>
        <v>400</v>
      </c>
    </row>
    <row r="36" spans="1:6" ht="17.399999999999999" x14ac:dyDescent="0.3">
      <c r="A36" s="39"/>
      <c r="B36" s="40"/>
      <c r="C36" s="41" t="s">
        <v>48</v>
      </c>
      <c r="D36" s="42">
        <v>80</v>
      </c>
      <c r="E36" s="43"/>
      <c r="F36" s="43"/>
    </row>
    <row r="37" spans="1:6" ht="17.399999999999999" x14ac:dyDescent="0.3">
      <c r="A37" s="39"/>
      <c r="B37" s="40"/>
      <c r="C37" s="41" t="s">
        <v>49</v>
      </c>
      <c r="D37" s="42">
        <v>80</v>
      </c>
      <c r="E37" s="43"/>
      <c r="F37" s="43"/>
    </row>
    <row r="38" spans="1:6" ht="17.399999999999999" x14ac:dyDescent="0.3">
      <c r="A38" s="39"/>
      <c r="B38" s="40"/>
      <c r="C38" s="41" t="s">
        <v>45</v>
      </c>
      <c r="D38" s="42">
        <v>40</v>
      </c>
      <c r="E38" s="43"/>
      <c r="F38" s="43"/>
    </row>
    <row r="39" spans="1:6" ht="17.399999999999999" x14ac:dyDescent="0.3">
      <c r="A39" s="35">
        <v>10</v>
      </c>
      <c r="B39" s="36" t="s">
        <v>19</v>
      </c>
      <c r="C39" s="37"/>
      <c r="D39" s="37"/>
      <c r="E39" s="37">
        <v>1</v>
      </c>
      <c r="F39" s="38">
        <f>D40*E39</f>
        <v>80</v>
      </c>
    </row>
    <row r="40" spans="1:6" ht="17.399999999999999" x14ac:dyDescent="0.3">
      <c r="A40" s="39"/>
      <c r="B40" s="40"/>
      <c r="C40" s="41" t="s">
        <v>49</v>
      </c>
      <c r="D40" s="42">
        <v>80</v>
      </c>
      <c r="E40" s="43"/>
      <c r="F40" s="43"/>
    </row>
    <row r="41" spans="1:6" ht="34.799999999999997" x14ac:dyDescent="0.3">
      <c r="A41" s="35">
        <v>11</v>
      </c>
      <c r="B41" s="36" t="s">
        <v>20</v>
      </c>
      <c r="C41" s="37"/>
      <c r="D41" s="37"/>
      <c r="E41" s="37">
        <v>1</v>
      </c>
      <c r="F41" s="38">
        <f>D42*E41</f>
        <v>80</v>
      </c>
    </row>
    <row r="42" spans="1:6" ht="17.399999999999999" x14ac:dyDescent="0.3">
      <c r="A42" s="39"/>
      <c r="B42" s="40"/>
      <c r="C42" s="41" t="s">
        <v>49</v>
      </c>
      <c r="D42" s="42">
        <v>80</v>
      </c>
      <c r="E42" s="43"/>
      <c r="F42" s="43"/>
    </row>
    <row r="43" spans="1:6" ht="17.399999999999999" x14ac:dyDescent="0.3">
      <c r="A43" s="35">
        <v>12</v>
      </c>
      <c r="B43" s="36" t="s">
        <v>21</v>
      </c>
      <c r="C43" s="37"/>
      <c r="D43" s="37"/>
      <c r="E43" s="37">
        <v>1</v>
      </c>
      <c r="F43" s="38">
        <f>D44*E43</f>
        <v>80</v>
      </c>
    </row>
    <row r="44" spans="1:6" ht="17.399999999999999" x14ac:dyDescent="0.3">
      <c r="A44" s="39"/>
      <c r="B44" s="40"/>
      <c r="C44" s="41" t="s">
        <v>49</v>
      </c>
      <c r="D44" s="42">
        <v>80</v>
      </c>
      <c r="E44" s="43"/>
      <c r="F44" s="43"/>
    </row>
    <row r="45" spans="1:6" ht="17.399999999999999" x14ac:dyDescent="0.3">
      <c r="A45" s="35">
        <v>13</v>
      </c>
      <c r="B45" s="36" t="s">
        <v>22</v>
      </c>
      <c r="C45" s="37"/>
      <c r="D45" s="37"/>
      <c r="E45" s="37">
        <v>4</v>
      </c>
      <c r="F45" s="38">
        <f>D46*E45</f>
        <v>320</v>
      </c>
    </row>
    <row r="46" spans="1:6" ht="17.399999999999999" x14ac:dyDescent="0.3">
      <c r="A46" s="39"/>
      <c r="B46" s="40"/>
      <c r="C46" s="41" t="s">
        <v>49</v>
      </c>
      <c r="D46" s="42">
        <v>80</v>
      </c>
      <c r="E46" s="43"/>
      <c r="F46" s="43"/>
    </row>
    <row r="47" spans="1:6" ht="17.399999999999999" x14ac:dyDescent="0.3">
      <c r="A47" s="35">
        <v>14</v>
      </c>
      <c r="B47" s="36" t="s">
        <v>23</v>
      </c>
      <c r="C47" s="37"/>
      <c r="D47" s="37"/>
      <c r="E47" s="37">
        <v>13</v>
      </c>
      <c r="F47" s="38">
        <f>D48*E47+D49*E47+D50*E47</f>
        <v>2600</v>
      </c>
    </row>
    <row r="48" spans="1:6" ht="17.399999999999999" x14ac:dyDescent="0.3">
      <c r="A48" s="39"/>
      <c r="B48" s="40"/>
      <c r="C48" s="41" t="s">
        <v>48</v>
      </c>
      <c r="D48" s="42">
        <v>80</v>
      </c>
      <c r="E48" s="43"/>
      <c r="F48" s="43"/>
    </row>
    <row r="49" spans="1:6" ht="17.399999999999999" x14ac:dyDescent="0.3">
      <c r="A49" s="39"/>
      <c r="B49" s="40"/>
      <c r="C49" s="41" t="s">
        <v>49</v>
      </c>
      <c r="D49" s="42">
        <v>80</v>
      </c>
      <c r="E49" s="43"/>
      <c r="F49" s="43"/>
    </row>
    <row r="50" spans="1:6" ht="17.399999999999999" x14ac:dyDescent="0.3">
      <c r="A50" s="39"/>
      <c r="B50" s="40"/>
      <c r="C50" s="41" t="s">
        <v>45</v>
      </c>
      <c r="D50" s="42">
        <v>40</v>
      </c>
      <c r="E50" s="43"/>
      <c r="F50" s="43"/>
    </row>
    <row r="51" spans="1:6" ht="17.399999999999999" x14ac:dyDescent="0.3">
      <c r="A51" s="35">
        <v>15</v>
      </c>
      <c r="B51" s="36" t="s">
        <v>24</v>
      </c>
      <c r="C51" s="37"/>
      <c r="D51" s="37"/>
      <c r="E51" s="37">
        <v>11</v>
      </c>
      <c r="F51" s="38">
        <f>D52*E51</f>
        <v>880</v>
      </c>
    </row>
    <row r="52" spans="1:6" ht="17.399999999999999" x14ac:dyDescent="0.3">
      <c r="A52" s="39"/>
      <c r="B52" s="40"/>
      <c r="C52" s="41" t="s">
        <v>48</v>
      </c>
      <c r="D52" s="42">
        <v>80</v>
      </c>
      <c r="E52" s="43"/>
      <c r="F52" s="43"/>
    </row>
    <row r="53" spans="1:6" ht="34.799999999999997" x14ac:dyDescent="0.3">
      <c r="A53" s="35">
        <v>16</v>
      </c>
      <c r="B53" s="36" t="s">
        <v>25</v>
      </c>
      <c r="C53" s="37"/>
      <c r="D53" s="37"/>
      <c r="E53" s="37">
        <v>3</v>
      </c>
      <c r="F53" s="38">
        <f>D54*E53</f>
        <v>240</v>
      </c>
    </row>
    <row r="54" spans="1:6" ht="17.399999999999999" x14ac:dyDescent="0.3">
      <c r="A54" s="39"/>
      <c r="B54" s="40"/>
      <c r="C54" s="41" t="s">
        <v>43</v>
      </c>
      <c r="D54" s="42">
        <v>80</v>
      </c>
      <c r="E54" s="43"/>
      <c r="F54" s="43"/>
    </row>
    <row r="55" spans="1:6" ht="34.799999999999997" x14ac:dyDescent="0.3">
      <c r="A55" s="35">
        <v>17</v>
      </c>
      <c r="B55" s="36" t="s">
        <v>26</v>
      </c>
      <c r="C55" s="37"/>
      <c r="D55" s="37"/>
      <c r="E55" s="37">
        <v>3</v>
      </c>
      <c r="F55" s="38">
        <f>D56*E55</f>
        <v>120</v>
      </c>
    </row>
    <row r="56" spans="1:6" ht="17.399999999999999" x14ac:dyDescent="0.3">
      <c r="A56" s="39"/>
      <c r="B56" s="40"/>
      <c r="C56" s="41" t="s">
        <v>45</v>
      </c>
      <c r="D56" s="42">
        <v>40</v>
      </c>
      <c r="E56" s="43"/>
      <c r="F56" s="43"/>
    </row>
    <row r="57" spans="1:6" ht="17.399999999999999" x14ac:dyDescent="0.3">
      <c r="A57" s="35">
        <v>18</v>
      </c>
      <c r="B57" s="36" t="s">
        <v>27</v>
      </c>
      <c r="C57" s="37"/>
      <c r="D57" s="37"/>
      <c r="E57" s="37">
        <v>2</v>
      </c>
      <c r="F57" s="38">
        <f>D58*E57+D59*E57+D60*E57</f>
        <v>400</v>
      </c>
    </row>
    <row r="58" spans="1:6" ht="17.399999999999999" x14ac:dyDescent="0.3">
      <c r="A58" s="39"/>
      <c r="B58" s="40"/>
      <c r="C58" s="41" t="s">
        <v>48</v>
      </c>
      <c r="D58" s="42">
        <v>80</v>
      </c>
      <c r="E58" s="43"/>
      <c r="F58" s="43"/>
    </row>
    <row r="59" spans="1:6" ht="17.399999999999999" x14ac:dyDescent="0.3">
      <c r="A59" s="39"/>
      <c r="B59" s="40"/>
      <c r="C59" s="41" t="s">
        <v>49</v>
      </c>
      <c r="D59" s="42">
        <v>80</v>
      </c>
      <c r="E59" s="43"/>
      <c r="F59" s="43"/>
    </row>
    <row r="60" spans="1:6" ht="17.399999999999999" x14ac:dyDescent="0.3">
      <c r="A60" s="39"/>
      <c r="B60" s="40"/>
      <c r="C60" s="41" t="s">
        <v>45</v>
      </c>
      <c r="D60" s="42">
        <v>40</v>
      </c>
      <c r="E60" s="43"/>
      <c r="F60" s="43"/>
    </row>
    <row r="61" spans="1:6" ht="17.399999999999999" x14ac:dyDescent="0.3">
      <c r="A61" s="35">
        <v>19</v>
      </c>
      <c r="B61" s="36" t="s">
        <v>29</v>
      </c>
      <c r="C61" s="37"/>
      <c r="D61" s="37"/>
      <c r="E61" s="37">
        <v>2</v>
      </c>
      <c r="F61" s="38">
        <f>D62*E61+D63*E61+D64*E61</f>
        <v>400</v>
      </c>
    </row>
    <row r="62" spans="1:6" ht="17.399999999999999" x14ac:dyDescent="0.3">
      <c r="A62" s="39"/>
      <c r="B62" s="40"/>
      <c r="C62" s="41" t="s">
        <v>48</v>
      </c>
      <c r="D62" s="42">
        <v>80</v>
      </c>
      <c r="E62" s="43"/>
      <c r="F62" s="43"/>
    </row>
    <row r="63" spans="1:6" ht="17.399999999999999" x14ac:dyDescent="0.3">
      <c r="A63" s="39"/>
      <c r="B63" s="40"/>
      <c r="C63" s="41" t="s">
        <v>49</v>
      </c>
      <c r="D63" s="42">
        <v>80</v>
      </c>
      <c r="E63" s="43"/>
      <c r="F63" s="43"/>
    </row>
    <row r="64" spans="1:6" ht="17.399999999999999" x14ac:dyDescent="0.3">
      <c r="A64" s="39"/>
      <c r="B64" s="40"/>
      <c r="C64" s="41" t="s">
        <v>45</v>
      </c>
      <c r="D64" s="42">
        <v>40</v>
      </c>
      <c r="E64" s="43"/>
      <c r="F64" s="43"/>
    </row>
    <row r="65" spans="1:6" ht="17.399999999999999" x14ac:dyDescent="0.3">
      <c r="A65" s="35">
        <v>20</v>
      </c>
      <c r="B65" s="36" t="s">
        <v>28</v>
      </c>
      <c r="C65" s="37"/>
      <c r="D65" s="37"/>
      <c r="E65" s="37">
        <v>2</v>
      </c>
      <c r="F65" s="38">
        <f>D66*E65</f>
        <v>160</v>
      </c>
    </row>
    <row r="66" spans="1:6" ht="17.399999999999999" x14ac:dyDescent="0.3">
      <c r="A66" s="43"/>
      <c r="B66" s="43"/>
      <c r="C66" s="41" t="s">
        <v>48</v>
      </c>
      <c r="D66" s="42">
        <v>80</v>
      </c>
      <c r="E66" s="43"/>
      <c r="F66" s="43"/>
    </row>
    <row r="67" spans="1:6" ht="20.399999999999999" x14ac:dyDescent="0.3">
      <c r="A67" s="44" t="s">
        <v>52</v>
      </c>
      <c r="B67" s="44"/>
      <c r="C67" s="44"/>
      <c r="D67" s="44"/>
      <c r="E67" s="44">
        <f>SUM(E3:E66)</f>
        <v>60</v>
      </c>
      <c r="F67" s="45">
        <f>SUM(F3:F66)</f>
        <v>8760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Planificador de proyectos</vt:lpstr>
      <vt:lpstr>Presupuesto</vt:lpstr>
      <vt:lpstr>period_selected</vt:lpstr>
      <vt:lpstr>TitleRegion..BO60</vt:lpstr>
      <vt:lpstr>'Planificador de proyectos'!Títulos_a_imprimir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2019-07-05T12:58:46Z</dcterms:created>
  <dcterms:modified xsi:type="dcterms:W3CDTF">2026-02-25T12:47:08Z</dcterms:modified>
</cp:coreProperties>
</file>